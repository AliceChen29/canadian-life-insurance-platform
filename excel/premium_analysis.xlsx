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ssumptions" sheetId="2" state="visible" r:id="rId4"/>
    <sheet name="PremiumCalc" sheetId="3" state="visible" r:id="rId5"/>
    <sheet name="Sensitivity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<sst xmlns="http://schemas.openxmlformats.org/spreadsheetml/2006/main" count="75" uniqueCount="62">
  <si>
    <t xml:space="preserve">Applicant Inputs</t>
  </si>
  <si>
    <t xml:space="preserve">Edit the blue cells below to change the example applicant.</t>
  </si>
  <si>
    <t xml:space="preserve">Field</t>
  </si>
  <si>
    <t xml:space="preserve">Value</t>
  </si>
  <si>
    <t xml:space="preserve">Format</t>
  </si>
  <si>
    <t xml:space="preserve">Age</t>
  </si>
  <si>
    <t xml:space="preserve">years</t>
  </si>
  <si>
    <t xml:space="preserve">Smoker</t>
  </si>
  <si>
    <t xml:space="preserve">Yes</t>
  </si>
  <si>
    <t xml:space="preserve">Yes / No</t>
  </si>
  <si>
    <t xml:space="preserve">Coverage Amount</t>
  </si>
  <si>
    <t xml:space="preserve">$</t>
  </si>
  <si>
    <t xml:space="preserve">Term (years)</t>
  </si>
  <si>
    <t xml:space="preserve">10 / 20 / 30</t>
  </si>
  <si>
    <t xml:space="preserve">Health Risk</t>
  </si>
  <si>
    <t xml:space="preserve">Moderate</t>
  </si>
  <si>
    <t xml:space="preserve">Low / Moderate / High</t>
  </si>
  <si>
    <t xml:space="preserve">Illustrative Actuarial Assumptions</t>
  </si>
  <si>
    <t xml:space="preserve">These are simplified, educational assumptions — not real actuarial mortality tables.</t>
  </si>
  <si>
    <t xml:space="preserve">Base Rate</t>
  </si>
  <si>
    <t xml:space="preserve">Illustrative base cost per $1 of coverage, before risk factors</t>
  </si>
  <si>
    <t xml:space="preserve">Age Factor Table</t>
  </si>
  <si>
    <t xml:space="preserve">Min Age</t>
  </si>
  <si>
    <t xml:space="preserve">Factor</t>
  </si>
  <si>
    <t xml:space="preserve">Notes</t>
  </si>
  <si>
    <t xml:space="preserve">Smoker Factor Table</t>
  </si>
  <si>
    <t xml:space="preserve">Status</t>
  </si>
  <si>
    <t xml:space="preserve">No</t>
  </si>
  <si>
    <t xml:space="preserve">Health Risk Factor Table</t>
  </si>
  <si>
    <t xml:space="preserve">Category</t>
  </si>
  <si>
    <t xml:space="preserve">Low</t>
  </si>
  <si>
    <t xml:space="preserve">High</t>
  </si>
  <si>
    <t xml:space="preserve">Term Factor Formula</t>
  </si>
  <si>
    <t xml:space="preserve">1 + (Term Years / 100)</t>
  </si>
  <si>
    <t xml:space="preserve">Premium Calculation</t>
  </si>
  <si>
    <t xml:space="preserve">All values below are formulas that recalculate when Inputs or Assumptions change.</t>
  </si>
  <si>
    <t xml:space="preserve">Smoker (Yes/No)</t>
  </si>
  <si>
    <t xml:space="preserve">Age Factor</t>
  </si>
  <si>
    <t xml:space="preserve">Smoker Factor</t>
  </si>
  <si>
    <t xml:space="preserve">Health Factor</t>
  </si>
  <si>
    <t xml:space="preserve">Term Factor</t>
  </si>
  <si>
    <t xml:space="preserve">Annual Premium</t>
  </si>
  <si>
    <t xml:space="preserve">Monthly Premium</t>
  </si>
  <si>
    <t xml:space="preserve">Premium Sensitivity Analysis</t>
  </si>
  <si>
    <t xml:space="preserve">Annual premium by age and smoking status, holding coverage, term, and health risk fixed below.</t>
  </si>
  <si>
    <t xml:space="preserve">Fixed Coverage</t>
  </si>
  <si>
    <t xml:space="preserve">Fixed Term (years)</t>
  </si>
  <si>
    <t xml:space="preserve">Fixed Health Risk</t>
  </si>
  <si>
    <t xml:space="preserve">Non-Smoker Premium</t>
  </si>
  <si>
    <t xml:space="preserve">Smoker Premium</t>
  </si>
  <si>
    <t xml:space="preserve">Summary Dashboard</t>
  </si>
  <si>
    <t xml:space="preserve">Key figures pulled live from the Premium Calculation and Sensitivity sheets.</t>
  </si>
  <si>
    <t xml:space="preserve">Example Applicant Annual Premium</t>
  </si>
  <si>
    <t xml:space="preserve">Scenario</t>
  </si>
  <si>
    <t xml:space="preserve">Premium</t>
  </si>
  <si>
    <t xml:space="preserve">Example Applicant Monthly Premium</t>
  </si>
  <si>
    <t xml:space="preserve">Age 25, Non-Smoker</t>
  </si>
  <si>
    <t xml:space="preserve">Lowest Sensitivity Premium (25, Non-Smoker)</t>
  </si>
  <si>
    <t xml:space="preserve">Age 60, Non-Smoker</t>
  </si>
  <si>
    <t xml:space="preserve">Highest Sensitivity Premium (60, Smoker)</t>
  </si>
  <si>
    <t xml:space="preserve">Age 25, Smoker</t>
  </si>
  <si>
    <t xml:space="preserve">Age 60, Smoker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</si>
</sst>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"/>
    <numFmt numFmtId="167" formatCode="General"/>
    <numFmt numFmtId="168" formatCode="\$#,##0"/>
    <numFmt numFmtId="169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44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4244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4244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E7C7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440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1424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Premium by Age and Smoking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Sensitivity!B8</c:f>
              <c:strCache>
                <c:ptCount val="1"/>
                <c:pt idx="0">
                  <c:v>Non-Smoker Premium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Sensitivity!$A$9:$A$16</c:f>
              <c:strCach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strCache>
            </c:strRef>
          </c:cat>
          <c:val>
            <c:numRef>
              <c:f>Sensitivity!$B$9:$B$16</c:f>
              <c:numCache>
                <c:formatCode>\$#,##0</c:formatCode>
                <c:ptCount val="8"/>
                <c:pt idx="0">
                  <c:v>480</c:v>
                </c:pt>
                <c:pt idx="1">
                  <c:v>600</c:v>
                </c:pt>
                <c:pt idx="2">
                  <c:v>600</c:v>
                </c:pt>
                <c:pt idx="3">
                  <c:v>840</c:v>
                </c:pt>
                <c:pt idx="4">
                  <c:v>840</c:v>
                </c:pt>
                <c:pt idx="5">
                  <c:v>1320</c:v>
                </c:pt>
                <c:pt idx="6">
                  <c:v>1320</c:v>
                </c:pt>
                <c:pt idx="7">
                  <c:v>1320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Sensitivity!C8</c:f>
              <c:strCache>
                <c:ptCount val="1"/>
                <c:pt idx="0">
                  <c:v>Smoker Premium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Sensitivity!$A$9:$A$16</c:f>
              <c:strCach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strCache>
            </c:strRef>
          </c:cat>
          <c:val>
            <c:numRef>
              <c:f>Sensitivity!$C$9:$C$16</c:f>
              <c:numCache>
                <c:formatCode>\$#,##0</c:formatCode>
                <c:ptCount val="8"/>
                <c:pt idx="0">
                  <c:v>960</c:v>
                </c:pt>
                <c:pt idx="1">
                  <c:v>1200</c:v>
                </c:pt>
                <c:pt idx="2">
                  <c:v>1200</c:v>
                </c:pt>
                <c:pt idx="3">
                  <c:v>1680</c:v>
                </c:pt>
                <c:pt idx="4">
                  <c:v>1680</c:v>
                </c:pt>
                <c:pt idx="5">
                  <c:v>2640</c:v>
                </c:pt>
                <c:pt idx="6">
                  <c:v>2640</c:v>
                </c:pt>
                <c:pt idx="7">
                  <c:v>2640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081390"/>
        <c:axId val="9127340"/>
      </c:lineChart>
      <c:catAx>
        <c:axId val="10081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7340"/>
        <c:crosses val="autoZero"/>
        <c:auto val="1"/>
        <c:lblAlgn val="ctr"/>
        <c:lblOffset val="100"/>
        <c:noMultiLvlLbl val="0"/>
      </c:catAx>
      <c:valAx>
        <c:axId val="9127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 Premium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813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Sensitivity Snapshot: Age 25 vs Age 60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Dashboard!E4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Dashboard!$D$5:$D$8</c:f>
              <c:strCache>
                <c:ptCount val="4"/>
                <c:pt idx="0">
                  <c:v>Age 25, Non-Smoker</c:v>
                </c:pt>
                <c:pt idx="1">
                  <c:v>Age 60, Non-Smoker</c:v>
                </c:pt>
                <c:pt idx="2">
                  <c:v>Age 25, Smoker</c:v>
                </c:pt>
                <c:pt idx="3">
                  <c:v>Age 60, Smoker</c:v>
                </c:pt>
              </c:strCache>
            </c:strRef>
          </c:cat>
          <c:val>
            <c:numRef>
              <c:f>Dashboard!$E$5:$E$8</c:f>
              <c:numCache>
                <c:formatCode>\$#,##0</c:formatCode>
                <c:ptCount val="4"/>
                <c:pt idx="0">
                  <c:v>480</c:v>
                </c:pt>
                <c:pt idx="1">
                  <c:v>1320</c:v>
                </c:pt>
                <c:pt idx="2">
                  <c:v>960</c:v>
                </c:pt>
                <c:pt idx="3">
                  <c:v>2640</c:v>
                </c:pt>
              </c:numCache>
            </c:numRef>
          </c:val>
        </c:ser>
        <c:gapWidth val="150"/>
        <c:overlap val="0"/>
        <c:axId val="17457329"/>
        <c:axId val="66473562"/>
      </c:barChart>
      <c:catAx>
        <c:axId val="174573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73562"/>
        <c:crosses val="autoZero"/>
        <c:auto val="1"/>
        <c:lblAlgn val="ctr"/>
        <c:lblOffset val="100"/>
        <c:noMultiLvlLbl val="0"/>
      </c:catAx>
      <c:valAx>
        <c:axId val="66473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 Premium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573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14</xdr:col>
      <xdr:colOff>364680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427680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160920</xdr:rowOff>
    </xdr:from>
    <xdr:to>
      <xdr:col>10</xdr:col>
      <xdr:colOff>164880</xdr:colOff>
      <xdr:row>25</xdr:row>
      <xdr:rowOff>162000</xdr:rowOff>
    </xdr:to>
    <xdr:graphicFrame>
      <xdr:nvGraphicFramePr>
        <xdr:cNvPr id="1" name="Chart 1"/>
        <xdr:cNvGraphicFramePr/>
      </xdr:nvGraphicFramePr>
      <xdr:xfrm>
        <a:off x="3806280" y="1714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45</v>
      </c>
      <c r="C5" s="2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  <c r="C6" s="2" t="s">
        <v>9</v>
      </c>
    </row>
    <row r="7" customFormat="false" ht="15" hidden="false" customHeight="false" outlineLevel="0" collapsed="false">
      <c r="A7" s="4" t="s">
        <v>10</v>
      </c>
      <c r="B7" s="5" t="n">
        <v>500000</v>
      </c>
      <c r="C7" s="2" t="s">
        <v>11</v>
      </c>
    </row>
    <row r="8" customFormat="false" ht="15" hidden="false" customHeight="false" outlineLevel="0" collapsed="false">
      <c r="A8" s="4" t="s">
        <v>12</v>
      </c>
      <c r="B8" s="5" t="n">
        <v>20</v>
      </c>
      <c r="C8" s="2" t="s">
        <v>13</v>
      </c>
    </row>
    <row r="9" customFormat="false" ht="15" hidden="false" customHeight="false" outlineLevel="0" collapsed="false">
      <c r="A9" s="4" t="s">
        <v>14</v>
      </c>
      <c r="B9" s="5" t="s">
        <v>15</v>
      </c>
      <c r="C9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A4" s="4" t="s">
        <v>19</v>
      </c>
      <c r="B4" s="6" t="n">
        <v>0.001</v>
      </c>
      <c r="C4" s="2" t="s">
        <v>20</v>
      </c>
    </row>
    <row r="6" customFormat="false" ht="15" hidden="false" customHeight="false" outlineLevel="0" collapsed="false">
      <c r="A6" s="4" t="s">
        <v>21</v>
      </c>
    </row>
    <row r="7" customFormat="false" ht="15" hidden="false" customHeight="false" outlineLevel="0" collapsed="false">
      <c r="A7" s="3" t="s">
        <v>22</v>
      </c>
      <c r="B7" s="3" t="s">
        <v>23</v>
      </c>
      <c r="C7" s="3" t="s">
        <v>24</v>
      </c>
    </row>
    <row r="8" customFormat="false" ht="15" hidden="false" customHeight="false" outlineLevel="0" collapsed="false">
      <c r="A8" s="7" t="n">
        <v>18</v>
      </c>
      <c r="B8" s="8" t="n">
        <v>0.8</v>
      </c>
    </row>
    <row r="9" customFormat="false" ht="15" hidden="false" customHeight="false" outlineLevel="0" collapsed="false">
      <c r="A9" s="7" t="n">
        <v>30</v>
      </c>
      <c r="B9" s="8" t="n">
        <v>1</v>
      </c>
    </row>
    <row r="10" customFormat="false" ht="15" hidden="false" customHeight="false" outlineLevel="0" collapsed="false">
      <c r="A10" s="7" t="n">
        <v>40</v>
      </c>
      <c r="B10" s="8" t="n">
        <v>1.4</v>
      </c>
    </row>
    <row r="11" customFormat="false" ht="15" hidden="false" customHeight="false" outlineLevel="0" collapsed="false">
      <c r="A11" s="7" t="n">
        <v>50</v>
      </c>
      <c r="B11" s="8" t="n">
        <v>2.2</v>
      </c>
    </row>
    <row r="13" customFormat="false" ht="15" hidden="false" customHeight="false" outlineLevel="0" collapsed="false">
      <c r="A13" s="4" t="s">
        <v>25</v>
      </c>
    </row>
    <row r="14" customFormat="false" ht="15" hidden="false" customHeight="false" outlineLevel="0" collapsed="false">
      <c r="A14" s="3" t="s">
        <v>26</v>
      </c>
      <c r="B14" s="3" t="s">
        <v>23</v>
      </c>
    </row>
    <row r="15" customFormat="false" ht="15" hidden="false" customHeight="false" outlineLevel="0" collapsed="false">
      <c r="A15" s="7" t="s">
        <v>27</v>
      </c>
      <c r="B15" s="8" t="n">
        <v>1</v>
      </c>
    </row>
    <row r="16" customFormat="false" ht="15" hidden="false" customHeight="false" outlineLevel="0" collapsed="false">
      <c r="A16" s="7" t="s">
        <v>8</v>
      </c>
      <c r="B16" s="8" t="n">
        <v>2</v>
      </c>
    </row>
    <row r="18" customFormat="false" ht="15" hidden="false" customHeight="false" outlineLevel="0" collapsed="false">
      <c r="A18" s="4" t="s">
        <v>28</v>
      </c>
    </row>
    <row r="19" customFormat="false" ht="15" hidden="false" customHeight="false" outlineLevel="0" collapsed="false">
      <c r="A19" s="3" t="s">
        <v>29</v>
      </c>
      <c r="B19" s="3" t="s">
        <v>23</v>
      </c>
    </row>
    <row r="20" customFormat="false" ht="15" hidden="false" customHeight="false" outlineLevel="0" collapsed="false">
      <c r="A20" s="7" t="s">
        <v>30</v>
      </c>
      <c r="B20" s="8" t="n">
        <v>1</v>
      </c>
    </row>
    <row r="21" customFormat="false" ht="15" hidden="false" customHeight="false" outlineLevel="0" collapsed="false">
      <c r="A21" s="7" t="s">
        <v>15</v>
      </c>
      <c r="B21" s="8" t="n">
        <v>1.3</v>
      </c>
    </row>
    <row r="22" customFormat="false" ht="15" hidden="false" customHeight="false" outlineLevel="0" collapsed="false">
      <c r="A22" s="7" t="s">
        <v>31</v>
      </c>
      <c r="B22" s="8" t="n">
        <v>1.8</v>
      </c>
    </row>
    <row r="24" customFormat="false" ht="15" hidden="false" customHeight="false" outlineLevel="0" collapsed="false">
      <c r="A24" s="4" t="s">
        <v>32</v>
      </c>
      <c r="B24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9" t="s">
        <v>5</v>
      </c>
      <c r="B5" s="10" t="n">
        <f aca="false">Inputs!B5</f>
        <v>45</v>
      </c>
    </row>
    <row r="6" customFormat="false" ht="15" hidden="false" customHeight="false" outlineLevel="0" collapsed="false">
      <c r="A6" s="9" t="s">
        <v>36</v>
      </c>
      <c r="B6" s="10" t="str">
        <f aca="false">Inputs!B6</f>
        <v>Yes</v>
      </c>
    </row>
    <row r="7" customFormat="false" ht="15" hidden="false" customHeight="false" outlineLevel="0" collapsed="false">
      <c r="A7" s="9" t="s">
        <v>10</v>
      </c>
      <c r="B7" s="11" t="n">
        <f aca="false">Inputs!B7</f>
        <v>500000</v>
      </c>
    </row>
    <row r="8" customFormat="false" ht="15" hidden="false" customHeight="false" outlineLevel="0" collapsed="false">
      <c r="A8" s="9" t="s">
        <v>12</v>
      </c>
      <c r="B8" s="10" t="n">
        <f aca="false">Inputs!B8</f>
        <v>20</v>
      </c>
    </row>
    <row r="9" customFormat="false" ht="15" hidden="false" customHeight="false" outlineLevel="0" collapsed="false">
      <c r="A9" s="9" t="s">
        <v>14</v>
      </c>
      <c r="B9" s="10" t="str">
        <f aca="false">Inputs!B9</f>
        <v>Moderate</v>
      </c>
    </row>
    <row r="11" customFormat="false" ht="15" hidden="false" customHeight="false" outlineLevel="0" collapsed="false">
      <c r="A11" s="9" t="s">
        <v>19</v>
      </c>
      <c r="B11" s="12" t="n">
        <f aca="false">Assumptions!B4</f>
        <v>0.001</v>
      </c>
    </row>
    <row r="12" customFormat="false" ht="15" hidden="false" customHeight="false" outlineLevel="0" collapsed="false">
      <c r="A12" s="9" t="s">
        <v>37</v>
      </c>
      <c r="B12" s="13" t="n">
        <f aca="false">VLOOKUP(B5,Assumptions!$A$8:$B$11,2,TRUE())</f>
        <v>1.4</v>
      </c>
    </row>
    <row r="13" customFormat="false" ht="15" hidden="false" customHeight="false" outlineLevel="0" collapsed="false">
      <c r="A13" s="9" t="s">
        <v>38</v>
      </c>
      <c r="B13" s="13" t="n">
        <f aca="false">INDEX(Assumptions!$B$15:$B$16,MATCH(B6,Assumptions!$A$15:$A$16,0))</f>
        <v>2</v>
      </c>
    </row>
    <row r="14" customFormat="false" ht="15" hidden="false" customHeight="false" outlineLevel="0" collapsed="false">
      <c r="A14" s="9" t="s">
        <v>39</v>
      </c>
      <c r="B14" s="13" t="n">
        <f aca="false">INDEX(Assumptions!$B$20:$B$22,MATCH(B9,Assumptions!$A$20:$A$22,0))</f>
        <v>1.3</v>
      </c>
    </row>
    <row r="15" customFormat="false" ht="15" hidden="false" customHeight="false" outlineLevel="0" collapsed="false">
      <c r="A15" s="9" t="s">
        <v>40</v>
      </c>
      <c r="B15" s="13" t="n">
        <f aca="false">1+(B8/100)</f>
        <v>1.2</v>
      </c>
    </row>
    <row r="17" customFormat="false" ht="15" hidden="false" customHeight="false" outlineLevel="0" collapsed="false">
      <c r="A17" s="4" t="s">
        <v>41</v>
      </c>
      <c r="B17" s="14" t="n">
        <f aca="false">B7*B11*B12*B13*B14*B15</f>
        <v>2184</v>
      </c>
    </row>
    <row r="18" customFormat="false" ht="15" hidden="false" customHeight="false" outlineLevel="0" collapsed="false">
      <c r="A18" s="4" t="s">
        <v>42</v>
      </c>
      <c r="B18" s="14" t="n">
        <f aca="false">B17/12</f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4" t="s">
        <v>45</v>
      </c>
      <c r="B4" s="15" t="n">
        <v>500000</v>
      </c>
    </row>
    <row r="5" customFormat="false" ht="15" hidden="false" customHeight="false" outlineLevel="0" collapsed="false">
      <c r="A5" s="4" t="s">
        <v>46</v>
      </c>
      <c r="B5" s="7" t="n">
        <v>20</v>
      </c>
    </row>
    <row r="6" customFormat="false" ht="15" hidden="false" customHeight="false" outlineLevel="0" collapsed="false">
      <c r="A6" s="4" t="s">
        <v>47</v>
      </c>
      <c r="B6" s="7" t="s">
        <v>30</v>
      </c>
    </row>
    <row r="8" customFormat="false" ht="15" hidden="false" customHeight="false" outlineLevel="0" collapsed="false">
      <c r="A8" s="3" t="s">
        <v>5</v>
      </c>
      <c r="B8" s="3" t="s">
        <v>48</v>
      </c>
      <c r="C8" s="3" t="s">
        <v>49</v>
      </c>
    </row>
    <row r="9" customFormat="false" ht="15" hidden="false" customHeight="false" outlineLevel="0" collapsed="false">
      <c r="A9" s="10" t="n">
        <v>25</v>
      </c>
      <c r="B9" s="16" t="n">
        <f aca="false">$B$4*Assumptions!$B$4*VLOOKUP(A9,Assumptions!$A$8:$B$11,2,TRUE())*INDEX(Assumptions!$B$15:$B$16,MATCH("No",Assumptions!$A$15:$A$16,0))*INDEX(Assumptions!$B$20:$B$22,MATCH($B$6,Assumptions!$A$20:$A$22,0))*(1+($B$5/100))</f>
        <v>480</v>
      </c>
      <c r="C9" s="16" t="n">
        <f aca="false">$B$4*Assumptions!$B$4*VLOOKUP(A9,Assumptions!$A$8:$B$11,2,TRUE())*INDEX(Assumptions!$B$15:$B$16,MATCH("Yes",Assumptions!$A$15:$A$16,0))*INDEX(Assumptions!$B$20:$B$22,MATCH($B$6,Assumptions!$A$20:$A$22,0))*(1+($B$5/100))</f>
        <v>960</v>
      </c>
    </row>
    <row r="10" customFormat="false" ht="15" hidden="false" customHeight="false" outlineLevel="0" collapsed="false">
      <c r="A10" s="10" t="n">
        <v>30</v>
      </c>
      <c r="B10" s="16" t="n">
        <f aca="false">$B$4*Assumptions!$B$4*VLOOKUP(A10,Assumptions!$A$8:$B$11,2,TRUE())*INDEX(Assumptions!$B$15:$B$16,MATCH("No",Assumptions!$A$15:$A$16,0))*INDEX(Assumptions!$B$20:$B$22,MATCH($B$6,Assumptions!$A$20:$A$22,0))*(1+($B$5/100))</f>
        <v>600</v>
      </c>
      <c r="C10" s="16" t="n">
        <f aca="false">$B$4*Assumptions!$B$4*VLOOKUP(A10,Assumptions!$A$8:$B$11,2,TRUE())*INDEX(Assumptions!$B$15:$B$16,MATCH("Yes",Assumptions!$A$15:$A$16,0))*INDEX(Assumptions!$B$20:$B$22,MATCH($B$6,Assumptions!$A$20:$A$22,0))*(1+($B$5/100))</f>
        <v>1200</v>
      </c>
    </row>
    <row r="11" customFormat="false" ht="15" hidden="false" customHeight="false" outlineLevel="0" collapsed="false">
      <c r="A11" s="10" t="n">
        <v>35</v>
      </c>
      <c r="B11" s="16" t="n">
        <f aca="false">$B$4*Assumptions!$B$4*VLOOKUP(A11,Assumptions!$A$8:$B$11,2,TRUE())*INDEX(Assumptions!$B$15:$B$16,MATCH("No",Assumptions!$A$15:$A$16,0))*INDEX(Assumptions!$B$20:$B$22,MATCH($B$6,Assumptions!$A$20:$A$22,0))*(1+($B$5/100))</f>
        <v>600</v>
      </c>
      <c r="C11" s="16" t="n">
        <f aca="false">$B$4*Assumptions!$B$4*VLOOKUP(A11,Assumptions!$A$8:$B$11,2,TRUE())*INDEX(Assumptions!$B$15:$B$16,MATCH("Yes",Assumptions!$A$15:$A$16,0))*INDEX(Assumptions!$B$20:$B$22,MATCH($B$6,Assumptions!$A$20:$A$22,0))*(1+($B$5/100))</f>
        <v>1200</v>
      </c>
    </row>
    <row r="12" customFormat="false" ht="15" hidden="false" customHeight="false" outlineLevel="0" collapsed="false">
      <c r="A12" s="10" t="n">
        <v>40</v>
      </c>
      <c r="B12" s="16" t="n">
        <f aca="false">$B$4*Assumptions!$B$4*VLOOKUP(A12,Assumptions!$A$8:$B$11,2,TRUE())*INDEX(Assumptions!$B$15:$B$16,MATCH("No",Assumptions!$A$15:$A$16,0))*INDEX(Assumptions!$B$20:$B$22,MATCH($B$6,Assumptions!$A$20:$A$22,0))*(1+($B$5/100))</f>
        <v>840</v>
      </c>
      <c r="C12" s="16" t="n">
        <f aca="false">$B$4*Assumptions!$B$4*VLOOKUP(A12,Assumptions!$A$8:$B$11,2,TRUE())*INDEX(Assumptions!$B$15:$B$16,MATCH("Yes",Assumptions!$A$15:$A$16,0))*INDEX(Assumptions!$B$20:$B$22,MATCH($B$6,Assumptions!$A$20:$A$22,0))*(1+($B$5/100))</f>
        <v>1680</v>
      </c>
    </row>
    <row r="13" customFormat="false" ht="15" hidden="false" customHeight="false" outlineLevel="0" collapsed="false">
      <c r="A13" s="10" t="n">
        <v>45</v>
      </c>
      <c r="B13" s="16" t="n">
        <f aca="false">$B$4*Assumptions!$B$4*VLOOKUP(A13,Assumptions!$A$8:$B$11,2,TRUE())*INDEX(Assumptions!$B$15:$B$16,MATCH("No",Assumptions!$A$15:$A$16,0))*INDEX(Assumptions!$B$20:$B$22,MATCH($B$6,Assumptions!$A$20:$A$22,0))*(1+($B$5/100))</f>
        <v>840</v>
      </c>
      <c r="C13" s="16" t="n">
        <f aca="false">$B$4*Assumptions!$B$4*VLOOKUP(A13,Assumptions!$A$8:$B$11,2,TRUE())*INDEX(Assumptions!$B$15:$B$16,MATCH("Yes",Assumptions!$A$15:$A$16,0))*INDEX(Assumptions!$B$20:$B$22,MATCH($B$6,Assumptions!$A$20:$A$22,0))*(1+($B$5/100))</f>
        <v>1680</v>
      </c>
    </row>
    <row r="14" customFormat="false" ht="15" hidden="false" customHeight="false" outlineLevel="0" collapsed="false">
      <c r="A14" s="10" t="n">
        <v>50</v>
      </c>
      <c r="B14" s="16" t="n">
        <f aca="false">$B$4*Assumptions!$B$4*VLOOKUP(A14,Assumptions!$A$8:$B$11,2,TRUE())*INDEX(Assumptions!$B$15:$B$16,MATCH("No",Assumptions!$A$15:$A$16,0))*INDEX(Assumptions!$B$20:$B$22,MATCH($B$6,Assumptions!$A$20:$A$22,0))*(1+($B$5/100))</f>
        <v>1320</v>
      </c>
      <c r="C14" s="16" t="n">
        <f aca="false">$B$4*Assumptions!$B$4*VLOOKUP(A14,Assumptions!$A$8:$B$11,2,TRUE())*INDEX(Assumptions!$B$15:$B$16,MATCH("Yes",Assumptions!$A$15:$A$16,0))*INDEX(Assumptions!$B$20:$B$22,MATCH($B$6,Assumptions!$A$20:$A$22,0))*(1+($B$5/100))</f>
        <v>2640</v>
      </c>
    </row>
    <row r="15" customFormat="false" ht="15" hidden="false" customHeight="false" outlineLevel="0" collapsed="false">
      <c r="A15" s="10" t="n">
        <v>55</v>
      </c>
      <c r="B15" s="16" t="n">
        <f aca="false">$B$4*Assumptions!$B$4*VLOOKUP(A15,Assumptions!$A$8:$B$11,2,TRUE())*INDEX(Assumptions!$B$15:$B$16,MATCH("No",Assumptions!$A$15:$A$16,0))*INDEX(Assumptions!$B$20:$B$22,MATCH($B$6,Assumptions!$A$20:$A$22,0))*(1+($B$5/100))</f>
        <v>1320</v>
      </c>
      <c r="C15" s="16" t="n">
        <f aca="false">$B$4*Assumptions!$B$4*VLOOKUP(A15,Assumptions!$A$8:$B$11,2,TRUE())*INDEX(Assumptions!$B$15:$B$16,MATCH("Yes",Assumptions!$A$15:$A$16,0))*INDEX(Assumptions!$B$20:$B$22,MATCH($B$6,Assumptions!$A$20:$A$22,0))*(1+($B$5/100))</f>
        <v>2640</v>
      </c>
    </row>
    <row r="16" customFormat="false" ht="15" hidden="false" customHeight="false" outlineLevel="0" collapsed="false">
      <c r="A16" s="10" t="n">
        <v>60</v>
      </c>
      <c r="B16" s="16" t="n">
        <f aca="false">$B$4*Assumptions!$B$4*VLOOKUP(A16,Assumptions!$A$8:$B$11,2,TRUE())*INDEX(Assumptions!$B$15:$B$16,MATCH("No",Assumptions!$A$15:$A$16,0))*INDEX(Assumptions!$B$20:$B$22,MATCH($B$6,Assumptions!$A$20:$A$22,0))*(1+($B$5/100))</f>
        <v>1320</v>
      </c>
      <c r="C16" s="16" t="n">
        <f aca="false">$B$4*Assumptions!$B$4*VLOOKUP(A16,Assumptions!$A$8:$B$11,2,TRUE())*INDEX(Assumptions!$B$15:$B$16,MATCH("Yes",Assumptions!$A$15:$A$16,0))*INDEX(Assumptions!$B$20:$B$22,MATCH($B$6,Assumptions!$A$20:$A$22,0))*(1+($B$5/100))</f>
        <v>2640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4" t="s">
        <v>52</v>
      </c>
      <c r="B4" s="17" t="n">
        <f aca="false">PremiumCalc!B17</f>
        <v>2184</v>
      </c>
      <c r="D4" s="18" t="s">
        <v>53</v>
      </c>
      <c r="E4" s="18" t="s">
        <v>54</v>
      </c>
    </row>
    <row r="5" customFormat="false" ht="15" hidden="false" customHeight="false" outlineLevel="0" collapsed="false">
      <c r="A5" s="4" t="s">
        <v>55</v>
      </c>
      <c r="B5" s="17" t="n">
        <f aca="false">PremiumCalc!B18</f>
        <v>182</v>
      </c>
      <c r="D5" s="18" t="s">
        <v>56</v>
      </c>
      <c r="E5" s="19" t="n">
        <f aca="false">Sensitivity!B9</f>
        <v>480</v>
      </c>
    </row>
    <row r="6" customFormat="false" ht="15" hidden="false" customHeight="false" outlineLevel="0" collapsed="false">
      <c r="A6" s="4" t="s">
        <v>57</v>
      </c>
      <c r="B6" s="19" t="n">
        <f aca="false">Sensitivity!B9</f>
        <v>480</v>
      </c>
      <c r="D6" s="18" t="s">
        <v>58</v>
      </c>
      <c r="E6" s="19" t="n">
        <f aca="false">Sensitivity!B16</f>
        <v>1320</v>
      </c>
    </row>
    <row r="7" customFormat="false" ht="15" hidden="false" customHeight="false" outlineLevel="0" collapsed="false">
      <c r="A7" s="4" t="s">
        <v>59</v>
      </c>
      <c r="B7" s="19" t="n">
        <f aca="false">Sensitivity!C16</f>
        <v>2640</v>
      </c>
      <c r="D7" s="18" t="s">
        <v>60</v>
      </c>
      <c r="E7" s="19" t="n">
        <f aca="false">Sensitivity!C9</f>
        <v>960</v>
      </c>
    </row>
    <row r="8" customFormat="false" ht="15" hidden="false" customHeight="false" outlineLevel="0" collapsed="false">
      <c r="D8" s="0" t="s">
        <v>61</v>
      </c>
      <c r="E8" s="19" t="n">
        <f aca="false">Sensitivity!C16</f>
        <v>2640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2026-08-01T19:53:50Z</dcterms:created>
  <dc:creator>openpyxl</dc:creator>
  <dc:description/>
  <dc:language>en-US</dc:language>
  <cp:lastModifiedBy/>
  <dcterms:modified xsi:type="dcterms:W3CDTF">2026-08-01T19:53:54Z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